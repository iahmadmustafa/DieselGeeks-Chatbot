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<sst xmlns="http://schemas.openxmlformats.org/spreadsheetml/2006/main" count="466" uniqueCount="67">
  <si>
    <t>Make</t>
  </si>
  <si>
    <t>Model</t>
  </si>
  <si>
    <t>Model Designation</t>
  </si>
  <si>
    <t>Engine</t>
  </si>
  <si>
    <t>Engine Capacity</t>
  </si>
  <si>
    <t>Year</t>
  </si>
  <si>
    <t>Change over year Yes or No</t>
  </si>
  <si>
    <t>Vin Look Up System</t>
  </si>
  <si>
    <t>Back Up Methods</t>
  </si>
  <si>
    <t>Injector</t>
  </si>
  <si>
    <t>Injector Fitting Kit</t>
  </si>
  <si>
    <t>Injector Washer Kit</t>
  </si>
  <si>
    <t>Fuel Lines (rail &gt; Injectors)</t>
  </si>
  <si>
    <t>Rail Pressure Sensor</t>
  </si>
  <si>
    <t xml:space="preserve">Fuel Rail </t>
  </si>
  <si>
    <t>Rail Releif Valve</t>
  </si>
  <si>
    <t>Pump</t>
  </si>
  <si>
    <t>SCV</t>
  </si>
  <si>
    <t>Turbo</t>
  </si>
  <si>
    <t>Turbo vac solenoid</t>
  </si>
  <si>
    <t>Fuel Line Pump to Rail</t>
  </si>
  <si>
    <t>Intake Manifold Clean Kit</t>
  </si>
  <si>
    <t>Leak Off Washer</t>
  </si>
  <si>
    <t>Nozzle Washer</t>
  </si>
  <si>
    <t>Injector Bolt</t>
  </si>
  <si>
    <t>Leak Off Rail</t>
  </si>
  <si>
    <t>Nissan</t>
  </si>
  <si>
    <t>Navara D40</t>
  </si>
  <si>
    <t>D40 Spain Built</t>
  </si>
  <si>
    <t>YD25</t>
  </si>
  <si>
    <t>no</t>
  </si>
  <si>
    <t>VSK</t>
  </si>
  <si>
    <t>Injector Code starts with D0</t>
  </si>
  <si>
    <t>095000-5650</t>
  </si>
  <si>
    <t>YD25 Fitting kit - 1</t>
  </si>
  <si>
    <t>wk yd25</t>
  </si>
  <si>
    <t>YD25 FLK</t>
  </si>
  <si>
    <t>294390-0080</t>
  </si>
  <si>
    <t>17520-EB35A</t>
  </si>
  <si>
    <t>095420-0260</t>
  </si>
  <si>
    <t>294000-0370</t>
  </si>
  <si>
    <t>294200-0660 + Conversion</t>
  </si>
  <si>
    <t>14411-EB300</t>
  </si>
  <si>
    <t>16684-EB30A</t>
  </si>
  <si>
    <t>16635-8H800</t>
  </si>
  <si>
    <t>16626-AD200</t>
  </si>
  <si>
    <t>11035-AD200</t>
  </si>
  <si>
    <t>16671-EB30A</t>
  </si>
  <si>
    <t>Injector Code starts with D3</t>
  </si>
  <si>
    <t>095000-6250</t>
  </si>
  <si>
    <t>YD25 Fitting kit - 2</t>
  </si>
  <si>
    <t>294000-0780</t>
  </si>
  <si>
    <t>14411-EC00E</t>
  </si>
  <si>
    <t>YD2K</t>
  </si>
  <si>
    <t>2.5 Litre</t>
  </si>
  <si>
    <t>Injector Code starts with D8</t>
  </si>
  <si>
    <t>295050-0300</t>
  </si>
  <si>
    <t>YD2k fitting kit</t>
  </si>
  <si>
    <t>YD2K FLK</t>
  </si>
  <si>
    <t>17520-5X00A</t>
  </si>
  <si>
    <t>294000-2460</t>
  </si>
  <si>
    <t>294200-0660</t>
  </si>
  <si>
    <t>14411-5X00A</t>
  </si>
  <si>
    <t>16684-5X00A</t>
  </si>
  <si>
    <t>D40 Thai Built</t>
  </si>
  <si>
    <t>MNT</t>
  </si>
  <si>
    <t>14411-EB70D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</si>
</sst>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E2020"/>
      <name val="Roboto"/>
    </font>
    <font>
      <b/>
      <sz val="9.0"/>
      <color rgb="FF000000"/>
      <name val="Tahoma"/>
    </font>
    <font>
      <b/>
      <sz val="9.0"/>
      <color rgb="FF666666"/>
      <name val="Verdana"/>
    </font>
    <font>
      <sz val="10.0"/>
      <color rgb="FF1E2020"/>
      <name val="Roboto"/>
    </font>
    <font>
      <color theme="1"/>
      <name val="Comic sans ms"/>
    </font>
    <font>
      <b/>
      <color rgb="FF0A0A0A"/>
      <name val="&quot;Helvetica Neue&quot;"/>
    </font>
    <font>
      <sz val="12.0"/>
      <color rgb="FF1E2020"/>
      <name val="Roboto"/>
    </font>
    <font>
      <sz val="10.0"/>
      <color rgb="FF000000"/>
      <name val="&quot;comic sans ms&quot;"/>
    </font>
    <font>
      <sz val="12.0"/>
      <color rgb="FF1D1D1D"/>
      <name val="&quot;Nunito Sans&quot;"/>
    </font>
    <font>
      <sz val="10.0"/>
      <color rgb="FF333333"/>
      <name val="La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EFE"/>
        <bgColor rgb="FFFEFEFE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5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2" fontId="9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2" fontId="11" numFmtId="0" xfId="0" applyAlignment="1" applyFont="1">
      <alignment horizontal="left" readingOrder="0"/>
    </xf>
    <xf borderId="0" fillId="0" fontId="1" numFmtId="0" xfId="0" applyFont="1"/>
    <xf borderId="0" fillId="2" fontId="1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6.13"/>
    <col customWidth="1" min="2" max="2" width="11.5"/>
    <col customWidth="1" min="3" max="3" width="14.75"/>
    <col customWidth="1" min="4" max="4" width="8.63"/>
    <col customWidth="1" min="5" max="5" width="13.13"/>
    <col customWidth="1" min="6" max="6" width="6.25"/>
    <col customWidth="1" min="7" max="7" width="22.0"/>
    <col customWidth="1" min="8" max="8" width="16.13"/>
    <col customWidth="1" min="9" max="9" width="27.0"/>
    <col customWidth="1" min="10" max="10" width="13.5"/>
    <col customWidth="1" min="11" max="11" width="18.63"/>
    <col customWidth="1" min="12" max="12" width="15.0"/>
    <col customWidth="1" min="13" max="13" width="20.63"/>
    <col customWidth="1" min="14" max="14" width="16.75"/>
    <col customWidth="1" min="15" max="15" width="14.63"/>
    <col customWidth="1" min="16" max="16" width="13.13"/>
    <col customWidth="1" min="17" max="17" width="15.38"/>
    <col customWidth="1" min="18" max="18" width="24.13"/>
    <col customWidth="1" min="19" max="19" width="18.5"/>
    <col customWidth="1" min="20" max="20" width="15.0"/>
    <col customWidth="1" min="21" max="21" width="17.88"/>
    <col customWidth="1" min="22" max="22" width="19.5"/>
    <col customWidth="1" min="23" max="23" width="13.0"/>
    <col customWidth="1" min="24" max="24" width="12.25"/>
    <col customWidth="1" min="25" max="25" width="13.25"/>
    <col customWidth="1" min="26" max="26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3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tr">
        <f t="shared" ref="E2:E7" si="1">CONCATENATE(MID(D2,3,1),".",RIGHT(D2,LEN(D2) - 3)," Litre")</f>
        <v>2.5 Litre</v>
      </c>
      <c r="F2" s="1">
        <v>2005.0</v>
      </c>
      <c r="G2" s="1" t="s">
        <v>30</v>
      </c>
      <c r="H2" s="1" t="s">
        <v>31</v>
      </c>
      <c r="I2" s="1" t="s">
        <v>32</v>
      </c>
      <c r="J2" s="4" t="s">
        <v>33</v>
      </c>
      <c r="K2" s="4" t="s">
        <v>34</v>
      </c>
      <c r="L2" s="3" t="s">
        <v>35</v>
      </c>
      <c r="M2" s="5" t="s">
        <v>36</v>
      </c>
      <c r="N2" s="6" t="s">
        <v>37</v>
      </c>
      <c r="O2" s="7" t="s">
        <v>38</v>
      </c>
      <c r="P2" s="8" t="s">
        <v>39</v>
      </c>
      <c r="Q2" s="9" t="s">
        <v>40</v>
      </c>
      <c r="R2" s="5" t="s">
        <v>41</v>
      </c>
      <c r="S2" s="10" t="s">
        <v>42</v>
      </c>
      <c r="T2" s="5"/>
      <c r="U2" s="5" t="s">
        <v>43</v>
      </c>
      <c r="W2" s="5" t="s">
        <v>44</v>
      </c>
      <c r="X2" s="5" t="s">
        <v>45</v>
      </c>
      <c r="Y2" s="5" t="s">
        <v>46</v>
      </c>
      <c r="Z2" s="5" t="s">
        <v>47</v>
      </c>
    </row>
    <row r="3">
      <c r="A3" s="1" t="s">
        <v>26</v>
      </c>
      <c r="B3" s="11" t="s">
        <v>27</v>
      </c>
      <c r="C3" s="1" t="s">
        <v>28</v>
      </c>
      <c r="D3" s="1" t="s">
        <v>29</v>
      </c>
      <c r="E3" s="1" t="str">
        <f t="shared" si="1"/>
        <v>2.5 Litre</v>
      </c>
      <c r="F3" s="1">
        <v>2006.0</v>
      </c>
      <c r="G3" s="1" t="s">
        <v>30</v>
      </c>
      <c r="H3" s="1" t="s">
        <v>31</v>
      </c>
      <c r="I3" s="1" t="s">
        <v>32</v>
      </c>
      <c r="J3" s="4" t="s">
        <v>33</v>
      </c>
      <c r="K3" s="4" t="s">
        <v>34</v>
      </c>
      <c r="L3" s="3" t="s">
        <v>35</v>
      </c>
      <c r="M3" s="5" t="s">
        <v>36</v>
      </c>
      <c r="N3" s="6" t="s">
        <v>37</v>
      </c>
      <c r="O3" s="7" t="s">
        <v>38</v>
      </c>
      <c r="P3" s="8" t="s">
        <v>39</v>
      </c>
      <c r="Q3" s="9" t="s">
        <v>40</v>
      </c>
      <c r="R3" s="5" t="s">
        <v>41</v>
      </c>
      <c r="S3" s="10" t="s">
        <v>42</v>
      </c>
      <c r="T3" s="5"/>
      <c r="U3" s="5" t="s">
        <v>43</v>
      </c>
      <c r="W3" s="5" t="s">
        <v>44</v>
      </c>
      <c r="X3" s="5" t="s">
        <v>45</v>
      </c>
      <c r="Y3" s="5" t="s">
        <v>46</v>
      </c>
      <c r="Z3" s="5" t="s">
        <v>47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tr">
        <f t="shared" si="1"/>
        <v>2.5 Litre</v>
      </c>
      <c r="F4" s="1">
        <v>2007.0</v>
      </c>
      <c r="G4" s="1" t="s">
        <v>30</v>
      </c>
      <c r="H4" s="1" t="s">
        <v>31</v>
      </c>
      <c r="I4" s="1" t="s">
        <v>48</v>
      </c>
      <c r="J4" s="4" t="s">
        <v>49</v>
      </c>
      <c r="K4" s="4" t="s">
        <v>50</v>
      </c>
      <c r="L4" s="3" t="s">
        <v>35</v>
      </c>
      <c r="M4" s="5" t="s">
        <v>36</v>
      </c>
      <c r="N4" s="6" t="s">
        <v>37</v>
      </c>
      <c r="O4" s="7" t="s">
        <v>38</v>
      </c>
      <c r="P4" s="8" t="s">
        <v>39</v>
      </c>
      <c r="Q4" s="5" t="s">
        <v>51</v>
      </c>
      <c r="R4" s="5" t="s">
        <v>41</v>
      </c>
      <c r="S4" s="10" t="s">
        <v>52</v>
      </c>
      <c r="T4" s="5"/>
      <c r="U4" s="5" t="s">
        <v>43</v>
      </c>
      <c r="W4" s="5" t="s">
        <v>44</v>
      </c>
      <c r="X4" s="5" t="s">
        <v>45</v>
      </c>
      <c r="Y4" s="5" t="s">
        <v>46</v>
      </c>
      <c r="Z4" s="5" t="s">
        <v>47</v>
      </c>
    </row>
    <row r="5">
      <c r="A5" s="1" t="s">
        <v>26</v>
      </c>
      <c r="B5" s="11" t="s">
        <v>27</v>
      </c>
      <c r="C5" s="1" t="s">
        <v>28</v>
      </c>
      <c r="D5" s="1" t="s">
        <v>29</v>
      </c>
      <c r="E5" s="1" t="str">
        <f t="shared" si="1"/>
        <v>2.5 Litre</v>
      </c>
      <c r="F5" s="1">
        <v>2008.0</v>
      </c>
      <c r="G5" s="1" t="s">
        <v>30</v>
      </c>
      <c r="H5" s="1" t="s">
        <v>31</v>
      </c>
      <c r="I5" s="1" t="s">
        <v>48</v>
      </c>
      <c r="J5" s="4" t="s">
        <v>49</v>
      </c>
      <c r="K5" s="4" t="s">
        <v>50</v>
      </c>
      <c r="L5" s="3" t="s">
        <v>35</v>
      </c>
      <c r="M5" s="5" t="s">
        <v>36</v>
      </c>
      <c r="N5" s="6" t="s">
        <v>37</v>
      </c>
      <c r="O5" s="7" t="s">
        <v>38</v>
      </c>
      <c r="P5" s="8" t="s">
        <v>39</v>
      </c>
      <c r="Q5" s="5" t="s">
        <v>51</v>
      </c>
      <c r="R5" s="5" t="s">
        <v>41</v>
      </c>
      <c r="S5" s="10" t="s">
        <v>52</v>
      </c>
      <c r="T5" s="5"/>
      <c r="U5" s="5" t="s">
        <v>43</v>
      </c>
      <c r="W5" s="5" t="s">
        <v>44</v>
      </c>
      <c r="X5" s="5" t="s">
        <v>45</v>
      </c>
      <c r="Y5" s="5" t="s">
        <v>46</v>
      </c>
      <c r="Z5" s="5" t="s">
        <v>47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tr">
        <f t="shared" si="1"/>
        <v>2.5 Litre</v>
      </c>
      <c r="F6" s="1">
        <v>2009.0</v>
      </c>
      <c r="G6" s="1" t="s">
        <v>30</v>
      </c>
      <c r="H6" s="1" t="s">
        <v>31</v>
      </c>
      <c r="I6" s="1" t="s">
        <v>48</v>
      </c>
      <c r="J6" s="4" t="s">
        <v>49</v>
      </c>
      <c r="K6" s="4" t="s">
        <v>50</v>
      </c>
      <c r="L6" s="3" t="s">
        <v>35</v>
      </c>
      <c r="M6" s="5" t="s">
        <v>36</v>
      </c>
      <c r="N6" s="6" t="s">
        <v>37</v>
      </c>
      <c r="O6" s="7" t="s">
        <v>38</v>
      </c>
      <c r="P6" s="8" t="s">
        <v>39</v>
      </c>
      <c r="Q6" s="5" t="s">
        <v>51</v>
      </c>
      <c r="R6" s="5" t="s">
        <v>41</v>
      </c>
      <c r="S6" s="10" t="s">
        <v>52</v>
      </c>
      <c r="T6" s="5"/>
      <c r="U6" s="5" t="s">
        <v>43</v>
      </c>
      <c r="W6" s="5" t="s">
        <v>44</v>
      </c>
      <c r="X6" s="5" t="s">
        <v>45</v>
      </c>
      <c r="Y6" s="5" t="s">
        <v>46</v>
      </c>
      <c r="Z6" s="5" t="s">
        <v>47</v>
      </c>
    </row>
    <row r="7">
      <c r="A7" s="1" t="s">
        <v>26</v>
      </c>
      <c r="B7" s="11" t="s">
        <v>27</v>
      </c>
      <c r="C7" s="1" t="s">
        <v>28</v>
      </c>
      <c r="D7" s="1" t="s">
        <v>29</v>
      </c>
      <c r="E7" s="1" t="str">
        <f t="shared" si="1"/>
        <v>2.5 Litre</v>
      </c>
      <c r="F7" s="1">
        <v>2010.0</v>
      </c>
      <c r="G7" s="1" t="s">
        <v>30</v>
      </c>
      <c r="H7" s="1" t="s">
        <v>31</v>
      </c>
      <c r="I7" s="1" t="s">
        <v>48</v>
      </c>
      <c r="J7" s="4" t="s">
        <v>49</v>
      </c>
      <c r="K7" s="4" t="s">
        <v>50</v>
      </c>
      <c r="L7" s="3" t="s">
        <v>35</v>
      </c>
      <c r="M7" s="5" t="s">
        <v>36</v>
      </c>
      <c r="N7" s="6" t="s">
        <v>37</v>
      </c>
      <c r="O7" s="7" t="s">
        <v>38</v>
      </c>
      <c r="P7" s="8" t="s">
        <v>39</v>
      </c>
      <c r="Q7" s="5" t="s">
        <v>51</v>
      </c>
      <c r="R7" s="5" t="s">
        <v>41</v>
      </c>
      <c r="S7" s="10" t="s">
        <v>52</v>
      </c>
      <c r="T7" s="5"/>
      <c r="U7" s="5" t="s">
        <v>43</v>
      </c>
      <c r="W7" s="5" t="s">
        <v>44</v>
      </c>
      <c r="X7" s="5" t="s">
        <v>45</v>
      </c>
      <c r="Y7" s="5" t="s">
        <v>46</v>
      </c>
      <c r="Z7" s="5" t="s">
        <v>47</v>
      </c>
    </row>
    <row r="8">
      <c r="A8" s="1" t="s">
        <v>26</v>
      </c>
      <c r="B8" s="1" t="s">
        <v>27</v>
      </c>
      <c r="C8" s="1" t="s">
        <v>28</v>
      </c>
      <c r="D8" s="1" t="s">
        <v>53</v>
      </c>
      <c r="E8" s="1" t="s">
        <v>54</v>
      </c>
      <c r="F8" s="1">
        <v>2011.0</v>
      </c>
      <c r="G8" s="1" t="s">
        <v>30</v>
      </c>
      <c r="H8" s="1" t="s">
        <v>31</v>
      </c>
      <c r="I8" s="1" t="s">
        <v>55</v>
      </c>
      <c r="J8" s="4" t="s">
        <v>56</v>
      </c>
      <c r="K8" s="4" t="s">
        <v>57</v>
      </c>
      <c r="L8" s="3" t="s">
        <v>35</v>
      </c>
      <c r="M8" s="5" t="s">
        <v>58</v>
      </c>
      <c r="N8" s="9" t="s">
        <v>37</v>
      </c>
      <c r="O8" s="5" t="s">
        <v>59</v>
      </c>
      <c r="P8" s="8" t="s">
        <v>39</v>
      </c>
      <c r="Q8" s="5" t="s">
        <v>60</v>
      </c>
      <c r="R8" s="5" t="s">
        <v>61</v>
      </c>
      <c r="S8" s="10" t="s">
        <v>62</v>
      </c>
      <c r="T8" s="5"/>
      <c r="U8" s="5" t="s">
        <v>63</v>
      </c>
      <c r="W8" s="5" t="s">
        <v>44</v>
      </c>
      <c r="X8" s="5" t="s">
        <v>45</v>
      </c>
      <c r="Y8" s="5"/>
      <c r="Z8" s="5" t="s">
        <v>47</v>
      </c>
    </row>
    <row r="9">
      <c r="A9" s="1" t="s">
        <v>26</v>
      </c>
      <c r="B9" s="11" t="s">
        <v>27</v>
      </c>
      <c r="C9" s="1" t="s">
        <v>28</v>
      </c>
      <c r="D9" s="1" t="s">
        <v>53</v>
      </c>
      <c r="E9" s="1" t="s">
        <v>54</v>
      </c>
      <c r="F9" s="1">
        <v>2012.0</v>
      </c>
      <c r="G9" s="1" t="s">
        <v>30</v>
      </c>
      <c r="H9" s="1" t="s">
        <v>31</v>
      </c>
      <c r="I9" s="1" t="s">
        <v>55</v>
      </c>
      <c r="J9" s="4" t="s">
        <v>56</v>
      </c>
      <c r="K9" s="4" t="s">
        <v>57</v>
      </c>
      <c r="L9" s="3" t="s">
        <v>35</v>
      </c>
      <c r="M9" s="5" t="s">
        <v>58</v>
      </c>
      <c r="N9" s="9" t="s">
        <v>37</v>
      </c>
      <c r="O9" s="5" t="s">
        <v>59</v>
      </c>
      <c r="P9" s="8" t="s">
        <v>39</v>
      </c>
      <c r="Q9" s="5" t="s">
        <v>60</v>
      </c>
      <c r="R9" s="5" t="s">
        <v>61</v>
      </c>
      <c r="S9" s="10" t="s">
        <v>62</v>
      </c>
      <c r="T9" s="5"/>
      <c r="U9" s="5" t="s">
        <v>63</v>
      </c>
      <c r="W9" s="5" t="s">
        <v>44</v>
      </c>
      <c r="X9" s="5" t="s">
        <v>45</v>
      </c>
      <c r="Y9" s="5"/>
      <c r="Z9" s="5" t="s">
        <v>47</v>
      </c>
    </row>
    <row r="10">
      <c r="A10" s="1" t="s">
        <v>26</v>
      </c>
      <c r="B10" s="1" t="s">
        <v>27</v>
      </c>
      <c r="C10" s="1" t="s">
        <v>28</v>
      </c>
      <c r="D10" s="1" t="s">
        <v>53</v>
      </c>
      <c r="E10" s="1" t="s">
        <v>54</v>
      </c>
      <c r="F10" s="1">
        <v>2013.0</v>
      </c>
      <c r="G10" s="1" t="s">
        <v>30</v>
      </c>
      <c r="H10" s="1" t="s">
        <v>31</v>
      </c>
      <c r="I10" s="1" t="s">
        <v>55</v>
      </c>
      <c r="J10" s="4" t="s">
        <v>56</v>
      </c>
      <c r="K10" s="4" t="s">
        <v>57</v>
      </c>
      <c r="L10" s="3" t="s">
        <v>35</v>
      </c>
      <c r="M10" s="5" t="s">
        <v>58</v>
      </c>
      <c r="N10" s="9" t="s">
        <v>37</v>
      </c>
      <c r="O10" s="5" t="s">
        <v>59</v>
      </c>
      <c r="P10" s="8" t="s">
        <v>39</v>
      </c>
      <c r="Q10" s="5" t="s">
        <v>60</v>
      </c>
      <c r="R10" s="5" t="s">
        <v>61</v>
      </c>
      <c r="S10" s="10" t="s">
        <v>62</v>
      </c>
      <c r="T10" s="5"/>
      <c r="U10" s="5" t="s">
        <v>63</v>
      </c>
      <c r="W10" s="5" t="s">
        <v>44</v>
      </c>
      <c r="X10" s="5" t="s">
        <v>45</v>
      </c>
      <c r="Y10" s="5"/>
      <c r="Z10" s="5" t="s">
        <v>47</v>
      </c>
    </row>
    <row r="11">
      <c r="A11" s="1" t="s">
        <v>26</v>
      </c>
      <c r="B11" s="11" t="s">
        <v>27</v>
      </c>
      <c r="C11" s="1" t="s">
        <v>28</v>
      </c>
      <c r="D11" s="1" t="s">
        <v>53</v>
      </c>
      <c r="E11" s="1" t="s">
        <v>54</v>
      </c>
      <c r="F11" s="1">
        <v>2014.0</v>
      </c>
      <c r="G11" s="1" t="s">
        <v>30</v>
      </c>
      <c r="H11" s="1" t="s">
        <v>31</v>
      </c>
      <c r="I11" s="1" t="s">
        <v>55</v>
      </c>
      <c r="J11" s="4" t="s">
        <v>56</v>
      </c>
      <c r="K11" s="4" t="s">
        <v>57</v>
      </c>
      <c r="L11" s="3" t="s">
        <v>35</v>
      </c>
      <c r="M11" s="5" t="s">
        <v>58</v>
      </c>
      <c r="N11" s="9" t="s">
        <v>37</v>
      </c>
      <c r="O11" s="5" t="s">
        <v>59</v>
      </c>
      <c r="P11" s="8" t="s">
        <v>39</v>
      </c>
      <c r="Q11" s="5" t="s">
        <v>60</v>
      </c>
      <c r="R11" s="5" t="s">
        <v>61</v>
      </c>
      <c r="S11" s="10" t="s">
        <v>62</v>
      </c>
      <c r="T11" s="5"/>
      <c r="U11" s="5" t="s">
        <v>63</v>
      </c>
      <c r="W11" s="5" t="s">
        <v>44</v>
      </c>
      <c r="X11" s="5" t="s">
        <v>45</v>
      </c>
      <c r="Y11" s="5"/>
      <c r="Z11" s="5" t="s">
        <v>47</v>
      </c>
    </row>
    <row r="12">
      <c r="A12" s="1" t="s">
        <v>26</v>
      </c>
      <c r="B12" s="1" t="s">
        <v>27</v>
      </c>
      <c r="C12" s="1" t="s">
        <v>28</v>
      </c>
      <c r="D12" s="1" t="s">
        <v>53</v>
      </c>
      <c r="E12" s="1" t="s">
        <v>54</v>
      </c>
      <c r="F12" s="1">
        <v>2015.0</v>
      </c>
      <c r="G12" s="1" t="s">
        <v>30</v>
      </c>
      <c r="H12" s="1" t="s">
        <v>31</v>
      </c>
      <c r="I12" s="1" t="s">
        <v>55</v>
      </c>
      <c r="J12" s="4" t="s">
        <v>56</v>
      </c>
      <c r="K12" s="4" t="s">
        <v>57</v>
      </c>
      <c r="L12" s="3" t="s">
        <v>35</v>
      </c>
      <c r="M12" s="5" t="s">
        <v>58</v>
      </c>
      <c r="N12" s="9" t="s">
        <v>37</v>
      </c>
      <c r="O12" s="5" t="s">
        <v>59</v>
      </c>
      <c r="P12" s="8" t="s">
        <v>39</v>
      </c>
      <c r="Q12" s="5" t="s">
        <v>60</v>
      </c>
      <c r="R12" s="5" t="s">
        <v>61</v>
      </c>
      <c r="S12" s="10" t="s">
        <v>62</v>
      </c>
      <c r="T12" s="5"/>
      <c r="U12" s="5" t="s">
        <v>63</v>
      </c>
      <c r="W12" s="5" t="s">
        <v>44</v>
      </c>
      <c r="X12" s="5" t="s">
        <v>45</v>
      </c>
      <c r="Y12" s="5"/>
      <c r="Z12" s="5" t="s">
        <v>47</v>
      </c>
    </row>
    <row r="13">
      <c r="A13" s="1"/>
      <c r="B13" s="11"/>
      <c r="C13" s="1"/>
      <c r="D13" s="1"/>
      <c r="N13" s="9"/>
      <c r="O13" s="12"/>
      <c r="P13" s="13"/>
      <c r="Q13" s="5"/>
      <c r="R13" s="5"/>
      <c r="S13" s="14"/>
      <c r="T13" s="5"/>
      <c r="U13" s="5"/>
      <c r="W13" s="5"/>
      <c r="X13" s="5"/>
      <c r="Y13" s="5"/>
      <c r="Z13" s="5"/>
    </row>
    <row r="14">
      <c r="A14" s="1"/>
      <c r="B14" s="11"/>
      <c r="C14" s="1"/>
      <c r="D14" s="1"/>
      <c r="E14" s="1"/>
      <c r="N14" s="9"/>
      <c r="O14" s="12"/>
      <c r="P14" s="13"/>
      <c r="Q14" s="5"/>
      <c r="R14" s="5"/>
      <c r="S14" s="14"/>
      <c r="T14" s="5"/>
      <c r="U14" s="5"/>
      <c r="W14" s="5"/>
      <c r="X14" s="5"/>
      <c r="Y14" s="5"/>
      <c r="Z14" s="5"/>
    </row>
    <row r="15">
      <c r="A15" s="1" t="s">
        <v>26</v>
      </c>
      <c r="B15" s="1" t="s">
        <v>27</v>
      </c>
      <c r="C15" s="1" t="s">
        <v>64</v>
      </c>
      <c r="D15" s="1" t="s">
        <v>29</v>
      </c>
      <c r="E15" s="15" t="str">
        <f t="shared" ref="E15:E23" si="2">CONCATENATE(MID(D15,3,1),".",RIGHT(D15,LEN(D15) - 3)," Litre")</f>
        <v>2.5 Litre</v>
      </c>
      <c r="F15" s="1">
        <v>2007.0</v>
      </c>
      <c r="G15" s="1" t="s">
        <v>30</v>
      </c>
      <c r="H15" s="1" t="s">
        <v>65</v>
      </c>
      <c r="I15" s="1" t="s">
        <v>48</v>
      </c>
      <c r="J15" s="4" t="s">
        <v>49</v>
      </c>
      <c r="K15" s="4" t="s">
        <v>50</v>
      </c>
      <c r="L15" s="3" t="s">
        <v>35</v>
      </c>
      <c r="M15" s="5" t="s">
        <v>36</v>
      </c>
      <c r="N15" s="6" t="s">
        <v>37</v>
      </c>
      <c r="O15" s="7" t="s">
        <v>38</v>
      </c>
      <c r="P15" s="8" t="s">
        <v>39</v>
      </c>
      <c r="Q15" s="5" t="s">
        <v>51</v>
      </c>
      <c r="R15" s="5" t="s">
        <v>41</v>
      </c>
      <c r="S15" s="16" t="s">
        <v>66</v>
      </c>
      <c r="T15" s="5"/>
      <c r="U15" s="5" t="s">
        <v>43</v>
      </c>
      <c r="W15" s="5" t="s">
        <v>44</v>
      </c>
      <c r="X15" s="5" t="s">
        <v>45</v>
      </c>
      <c r="Y15" s="5" t="s">
        <v>46</v>
      </c>
      <c r="Z15" s="5" t="s">
        <v>47</v>
      </c>
    </row>
    <row r="16">
      <c r="A16" s="1" t="s">
        <v>26</v>
      </c>
      <c r="B16" s="11" t="s">
        <v>27</v>
      </c>
      <c r="C16" s="1" t="s">
        <v>64</v>
      </c>
      <c r="D16" s="1" t="s">
        <v>29</v>
      </c>
      <c r="E16" s="15" t="str">
        <f t="shared" si="2"/>
        <v>2.5 Litre</v>
      </c>
      <c r="F16" s="1">
        <v>2008.0</v>
      </c>
      <c r="G16" s="1" t="s">
        <v>30</v>
      </c>
      <c r="H16" s="1" t="s">
        <v>65</v>
      </c>
      <c r="I16" s="1" t="s">
        <v>48</v>
      </c>
      <c r="J16" s="4" t="s">
        <v>49</v>
      </c>
      <c r="K16" s="4" t="s">
        <v>50</v>
      </c>
      <c r="L16" s="3" t="s">
        <v>35</v>
      </c>
      <c r="M16" s="5" t="s">
        <v>36</v>
      </c>
      <c r="N16" s="6" t="s">
        <v>37</v>
      </c>
      <c r="O16" s="7" t="s">
        <v>38</v>
      </c>
      <c r="P16" s="8" t="s">
        <v>39</v>
      </c>
      <c r="Q16" s="5" t="s">
        <v>51</v>
      </c>
      <c r="R16" s="5" t="s">
        <v>41</v>
      </c>
      <c r="S16" s="16" t="s">
        <v>66</v>
      </c>
      <c r="T16" s="5"/>
      <c r="U16" s="5" t="s">
        <v>43</v>
      </c>
      <c r="W16" s="5" t="s">
        <v>44</v>
      </c>
      <c r="X16" s="5" t="s">
        <v>45</v>
      </c>
      <c r="Y16" s="5" t="s">
        <v>46</v>
      </c>
      <c r="Z16" s="5" t="s">
        <v>47</v>
      </c>
    </row>
    <row r="17">
      <c r="A17" s="1" t="s">
        <v>26</v>
      </c>
      <c r="B17" s="1" t="s">
        <v>27</v>
      </c>
      <c r="C17" s="1" t="s">
        <v>64</v>
      </c>
      <c r="D17" s="1" t="s">
        <v>29</v>
      </c>
      <c r="E17" s="15" t="str">
        <f t="shared" si="2"/>
        <v>2.5 Litre</v>
      </c>
      <c r="F17" s="1">
        <v>2009.0</v>
      </c>
      <c r="G17" s="1" t="s">
        <v>30</v>
      </c>
      <c r="H17" s="1" t="s">
        <v>65</v>
      </c>
      <c r="I17" s="1" t="s">
        <v>48</v>
      </c>
      <c r="J17" s="4" t="s">
        <v>49</v>
      </c>
      <c r="K17" s="4" t="s">
        <v>50</v>
      </c>
      <c r="L17" s="3" t="s">
        <v>35</v>
      </c>
      <c r="M17" s="5" t="s">
        <v>36</v>
      </c>
      <c r="N17" s="6" t="s">
        <v>37</v>
      </c>
      <c r="O17" s="7" t="s">
        <v>38</v>
      </c>
      <c r="P17" s="8" t="s">
        <v>39</v>
      </c>
      <c r="Q17" s="5" t="s">
        <v>51</v>
      </c>
      <c r="R17" s="5" t="s">
        <v>41</v>
      </c>
      <c r="S17" s="16" t="s">
        <v>66</v>
      </c>
      <c r="T17" s="5"/>
      <c r="U17" s="5" t="s">
        <v>43</v>
      </c>
      <c r="W17" s="5" t="s">
        <v>44</v>
      </c>
      <c r="X17" s="5" t="s">
        <v>45</v>
      </c>
      <c r="Y17" s="5" t="s">
        <v>46</v>
      </c>
      <c r="Z17" s="5" t="s">
        <v>47</v>
      </c>
    </row>
    <row r="18">
      <c r="A18" s="1" t="s">
        <v>26</v>
      </c>
      <c r="B18" s="11" t="s">
        <v>27</v>
      </c>
      <c r="C18" s="1" t="s">
        <v>64</v>
      </c>
      <c r="D18" s="1" t="s">
        <v>29</v>
      </c>
      <c r="E18" s="15" t="str">
        <f t="shared" si="2"/>
        <v>2.5 Litre</v>
      </c>
      <c r="F18" s="1">
        <v>2010.0</v>
      </c>
      <c r="G18" s="1" t="s">
        <v>30</v>
      </c>
      <c r="H18" s="1" t="s">
        <v>65</v>
      </c>
      <c r="I18" s="1" t="s">
        <v>48</v>
      </c>
      <c r="J18" s="4" t="s">
        <v>49</v>
      </c>
      <c r="K18" s="4" t="s">
        <v>50</v>
      </c>
      <c r="L18" s="3" t="s">
        <v>35</v>
      </c>
      <c r="M18" s="5" t="s">
        <v>36</v>
      </c>
      <c r="N18" s="6" t="s">
        <v>37</v>
      </c>
      <c r="O18" s="7" t="s">
        <v>38</v>
      </c>
      <c r="P18" s="8" t="s">
        <v>39</v>
      </c>
      <c r="Q18" s="5" t="s">
        <v>51</v>
      </c>
      <c r="R18" s="5" t="s">
        <v>41</v>
      </c>
      <c r="S18" s="16" t="s">
        <v>66</v>
      </c>
      <c r="T18" s="5"/>
      <c r="U18" s="5" t="s">
        <v>43</v>
      </c>
      <c r="W18" s="5" t="s">
        <v>44</v>
      </c>
      <c r="X18" s="5" t="s">
        <v>45</v>
      </c>
      <c r="Y18" s="5" t="s">
        <v>46</v>
      </c>
      <c r="Z18" s="5" t="s">
        <v>47</v>
      </c>
    </row>
    <row r="19">
      <c r="A19" s="1" t="s">
        <v>26</v>
      </c>
      <c r="B19" s="1" t="s">
        <v>27</v>
      </c>
      <c r="C19" s="1" t="s">
        <v>64</v>
      </c>
      <c r="D19" s="1" t="s">
        <v>29</v>
      </c>
      <c r="E19" s="15" t="str">
        <f t="shared" si="2"/>
        <v>2.5 Litre</v>
      </c>
      <c r="F19" s="1">
        <v>2011.0</v>
      </c>
      <c r="G19" s="1" t="s">
        <v>30</v>
      </c>
      <c r="H19" s="1" t="s">
        <v>65</v>
      </c>
      <c r="I19" s="1" t="s">
        <v>48</v>
      </c>
      <c r="J19" s="4" t="s">
        <v>49</v>
      </c>
      <c r="K19" s="4" t="s">
        <v>50</v>
      </c>
      <c r="L19" s="3" t="s">
        <v>35</v>
      </c>
      <c r="M19" s="5" t="s">
        <v>36</v>
      </c>
      <c r="N19" s="6" t="s">
        <v>37</v>
      </c>
      <c r="O19" s="7" t="s">
        <v>38</v>
      </c>
      <c r="P19" s="8" t="s">
        <v>39</v>
      </c>
      <c r="Q19" s="5" t="s">
        <v>51</v>
      </c>
      <c r="R19" s="5" t="s">
        <v>41</v>
      </c>
      <c r="S19" s="16" t="s">
        <v>66</v>
      </c>
      <c r="T19" s="5"/>
      <c r="U19" s="5" t="s">
        <v>43</v>
      </c>
      <c r="W19" s="5" t="s">
        <v>44</v>
      </c>
      <c r="X19" s="5" t="s">
        <v>45</v>
      </c>
      <c r="Y19" s="5" t="s">
        <v>46</v>
      </c>
      <c r="Z19" s="5" t="s">
        <v>47</v>
      </c>
    </row>
    <row r="20">
      <c r="A20" s="1" t="s">
        <v>26</v>
      </c>
      <c r="B20" s="11" t="s">
        <v>27</v>
      </c>
      <c r="C20" s="1" t="s">
        <v>64</v>
      </c>
      <c r="D20" s="1" t="s">
        <v>29</v>
      </c>
      <c r="E20" s="15" t="str">
        <f t="shared" si="2"/>
        <v>2.5 Litre</v>
      </c>
      <c r="F20" s="1">
        <v>2012.0</v>
      </c>
      <c r="G20" s="1" t="s">
        <v>30</v>
      </c>
      <c r="H20" s="1" t="s">
        <v>65</v>
      </c>
      <c r="I20" s="1" t="s">
        <v>48</v>
      </c>
      <c r="J20" s="4" t="s">
        <v>49</v>
      </c>
      <c r="K20" s="4" t="s">
        <v>50</v>
      </c>
      <c r="L20" s="3" t="s">
        <v>35</v>
      </c>
      <c r="M20" s="5" t="s">
        <v>36</v>
      </c>
      <c r="N20" s="6" t="s">
        <v>37</v>
      </c>
      <c r="O20" s="7" t="s">
        <v>38</v>
      </c>
      <c r="P20" s="8" t="s">
        <v>39</v>
      </c>
      <c r="Q20" s="5" t="s">
        <v>51</v>
      </c>
      <c r="R20" s="5" t="s">
        <v>41</v>
      </c>
      <c r="S20" s="16" t="s">
        <v>66</v>
      </c>
      <c r="T20" s="5"/>
      <c r="U20" s="5" t="s">
        <v>43</v>
      </c>
      <c r="W20" s="5" t="s">
        <v>44</v>
      </c>
      <c r="X20" s="5" t="s">
        <v>45</v>
      </c>
      <c r="Y20" s="5" t="s">
        <v>46</v>
      </c>
      <c r="Z20" s="5" t="s">
        <v>47</v>
      </c>
    </row>
    <row r="21">
      <c r="A21" s="1" t="s">
        <v>26</v>
      </c>
      <c r="B21" s="1" t="s">
        <v>27</v>
      </c>
      <c r="C21" s="1" t="s">
        <v>64</v>
      </c>
      <c r="D21" s="1" t="s">
        <v>29</v>
      </c>
      <c r="E21" s="15" t="str">
        <f t="shared" si="2"/>
        <v>2.5 Litre</v>
      </c>
      <c r="F21" s="1">
        <v>2013.0</v>
      </c>
      <c r="G21" s="1" t="s">
        <v>30</v>
      </c>
      <c r="H21" s="1" t="s">
        <v>65</v>
      </c>
      <c r="I21" s="1" t="s">
        <v>48</v>
      </c>
      <c r="J21" s="4" t="s">
        <v>49</v>
      </c>
      <c r="K21" s="4" t="s">
        <v>50</v>
      </c>
      <c r="L21" s="3" t="s">
        <v>35</v>
      </c>
      <c r="M21" s="5" t="s">
        <v>36</v>
      </c>
      <c r="N21" s="6" t="s">
        <v>37</v>
      </c>
      <c r="O21" s="7" t="s">
        <v>38</v>
      </c>
      <c r="P21" s="8" t="s">
        <v>39</v>
      </c>
      <c r="Q21" s="5" t="s">
        <v>51</v>
      </c>
      <c r="R21" s="5" t="s">
        <v>41</v>
      </c>
      <c r="S21" s="16" t="s">
        <v>66</v>
      </c>
      <c r="T21" s="5"/>
      <c r="U21" s="5" t="s">
        <v>43</v>
      </c>
      <c r="W21" s="5" t="s">
        <v>44</v>
      </c>
      <c r="X21" s="5" t="s">
        <v>45</v>
      </c>
      <c r="Y21" s="5" t="s">
        <v>46</v>
      </c>
      <c r="Z21" s="5" t="s">
        <v>47</v>
      </c>
    </row>
    <row r="22">
      <c r="A22" s="1" t="s">
        <v>26</v>
      </c>
      <c r="B22" s="11" t="s">
        <v>27</v>
      </c>
      <c r="C22" s="1" t="s">
        <v>64</v>
      </c>
      <c r="D22" s="1" t="s">
        <v>29</v>
      </c>
      <c r="E22" s="15" t="str">
        <f t="shared" si="2"/>
        <v>2.5 Litre</v>
      </c>
      <c r="F22" s="1">
        <v>2014.0</v>
      </c>
      <c r="G22" s="1" t="s">
        <v>30</v>
      </c>
      <c r="H22" s="1" t="s">
        <v>65</v>
      </c>
      <c r="I22" s="1" t="s">
        <v>48</v>
      </c>
      <c r="J22" s="4" t="s">
        <v>49</v>
      </c>
      <c r="K22" s="4" t="s">
        <v>50</v>
      </c>
      <c r="L22" s="3" t="s">
        <v>35</v>
      </c>
      <c r="M22" s="5" t="s">
        <v>36</v>
      </c>
      <c r="N22" s="6" t="s">
        <v>37</v>
      </c>
      <c r="O22" s="7" t="s">
        <v>38</v>
      </c>
      <c r="P22" s="8" t="s">
        <v>39</v>
      </c>
      <c r="Q22" s="5" t="s">
        <v>51</v>
      </c>
      <c r="R22" s="5" t="s">
        <v>41</v>
      </c>
      <c r="S22" s="16" t="s">
        <v>66</v>
      </c>
      <c r="T22" s="5"/>
      <c r="U22" s="5" t="s">
        <v>43</v>
      </c>
      <c r="W22" s="5" t="s">
        <v>44</v>
      </c>
      <c r="X22" s="5" t="s">
        <v>45</v>
      </c>
      <c r="Y22" s="5" t="s">
        <v>46</v>
      </c>
      <c r="Z22" s="5" t="s">
        <v>47</v>
      </c>
    </row>
    <row r="23">
      <c r="A23" s="1" t="s">
        <v>26</v>
      </c>
      <c r="B23" s="1" t="s">
        <v>27</v>
      </c>
      <c r="C23" s="1" t="s">
        <v>64</v>
      </c>
      <c r="D23" s="1" t="s">
        <v>29</v>
      </c>
      <c r="E23" s="15" t="str">
        <f t="shared" si="2"/>
        <v>2.5 Litre</v>
      </c>
      <c r="F23" s="1">
        <v>2015.0</v>
      </c>
      <c r="G23" s="1" t="s">
        <v>30</v>
      </c>
      <c r="H23" s="1" t="s">
        <v>65</v>
      </c>
      <c r="I23" s="1" t="s">
        <v>48</v>
      </c>
      <c r="J23" s="4" t="s">
        <v>49</v>
      </c>
      <c r="K23" s="4" t="s">
        <v>50</v>
      </c>
      <c r="L23" s="3" t="s">
        <v>35</v>
      </c>
      <c r="M23" s="5" t="s">
        <v>36</v>
      </c>
      <c r="N23" s="6" t="s">
        <v>37</v>
      </c>
      <c r="O23" s="7" t="s">
        <v>38</v>
      </c>
      <c r="P23" s="8" t="s">
        <v>39</v>
      </c>
      <c r="Q23" s="5" t="s">
        <v>51</v>
      </c>
      <c r="R23" s="5" t="s">
        <v>41</v>
      </c>
      <c r="S23" s="16" t="s">
        <v>66</v>
      </c>
      <c r="T23" s="5"/>
      <c r="U23" s="5" t="s">
        <v>43</v>
      </c>
      <c r="W23" s="5" t="s">
        <v>44</v>
      </c>
      <c r="X23" s="5" t="s">
        <v>45</v>
      </c>
      <c r="Y23" s="5" t="s">
        <v>46</v>
      </c>
      <c r="Z23" s="5" t="s">
        <v>47</v>
      </c>
    </row>
    <row r="24">
      <c r="B24" s="11"/>
      <c r="R24" s="5"/>
    </row>
  </sheetData>
  <drawing r:id="rId1"/>
</worksheet>
</file>